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TestProject\Sinabro\Assets\Resources\Unknown\"/>
    </mc:Choice>
  </mc:AlternateContent>
  <x:bookViews>
    <x:workbookView xWindow="0" yWindow="0" windowWidth="17565" windowHeight="6690" tabRatio="500"/>
  </x:bookViews>
  <x:sheets>
    <x:sheet name="Equipment" sheetId="1" r:id="rId4"/>
    <x:sheet name="Consumables" sheetId="2" r:id="rId5"/>
    <x:sheet name="Materials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<x:sst xmlns:r="http://schemas.openxmlformats.org/officeDocument/2006/relationships" xmlns:c="http://schemas.openxmlformats.org/drawingml/2006/chart" xmlns:x="http://schemas.openxmlformats.org/spreadsheetml/2006/main" count="73" uniqueCount="63">
  <x:si>
    <x:t>level</x:t>
  </x:si>
  <x:si>
    <x:t>Ring</x:t>
  </x:si>
  <x:si>
    <x:t>1티어 반지</x:t>
  </x:si>
  <x:si>
    <x:t>Helm</x:t>
  </x:si>
  <x:si>
    <x:t>value</x:t>
  </x:si>
  <x:si>
    <x:t>Armor</x:t>
  </x:si>
  <x:si>
    <x:t>Weapon</x:t>
  </x:si>
  <x:si>
    <x:t>1티어 목걸이</x:t>
  </x:si>
  <x:si>
    <x:t>ring_11</x:t>
  </x:si>
  <x:si>
    <x:t>1티어 상의</x:t>
  </x:si>
  <x:si>
    <x:t>Shoes</x:t>
  </x:si>
  <x:si>
    <x:t>helm_11</x:t>
  </x:si>
  <x:si>
    <x:t>1티어 투구</x:t>
  </x:si>
  <x:si>
    <x:t>MAT_001</x:t>
  </x:si>
  <x:si>
    <x:t>하급 재료</x:t>
  </x:si>
  <x:si>
    <x:t>1티어 신발</x:t>
  </x:si>
  <x:si>
    <x:t>1티어 하의</x:t>
  </x:si>
  <x:si>
    <x:t>Pants</x:t>
  </x:si>
  <x:si>
    <x:t>itemID</x:t>
  </x:si>
  <x:si>
    <x:t>1티어 검</x:t>
  </x:si>
  <x:si>
    <x:t>공격력 물약</x:t>
  </x:si>
  <x:si>
    <x:t>AtkBuff</x:t>
  </x:si>
  <x:si>
    <x:t>1티어 팔찌</x:t>
  </x:si>
  <x:si>
    <x:t>CON_001</x:t>
  </x:si>
  <x:si>
    <x:t>consumableType</x:t>
  </x:si>
  <x:si>
    <x:t>moveSpeedBonus</x:t>
  </x:si>
  <x:si>
    <x:t>equipType</x:t>
  </x:si>
  <x:si>
    <x:t>EQUIP_004</x:t>
  </x:si>
  <x:si>
    <x:t>shoes_11</x:t>
  </x:si>
  <x:si>
    <x:t>EQUIP_008</x:t>
  </x:si>
  <x:si>
    <x:t>armor_11</x:t>
  </x:si>
  <x:si>
    <x:t>신발</x:t>
  </x:si>
  <x:si>
    <x:t>투구</x:t>
  </x:si>
  <x:si>
    <x:t>팔찌</x:t>
  </x:si>
  <x:si>
    <x:t>하의</x:t>
  </x:si>
  <x:si>
    <x:t>검</x:t>
  </x:si>
  <x:si>
    <x:t>목걸이</x:t>
  </x:si>
  <x:si>
    <x:t>상의</x:t>
  </x:si>
  <x:si>
    <x:t>반지</x:t>
  </x:si>
  <x:si>
    <x:t>additionalAttackPower</x:t>
  </x:si>
  <x:si>
    <x:t>additionalAttackSpeed</x:t>
  </x:si>
  <x:si>
    <x:t>itemName</x:t>
  </x:si>
  <x:si>
    <x:t>EQUIP_002</x:t>
  </x:si>
  <x:si>
    <x:t>itemIcon</x:t>
  </x:si>
  <x:si>
    <x:t>duration</x:t>
  </x:si>
  <x:si>
    <x:t>EQUIP_005</x:t>
  </x:si>
  <x:si>
    <x:t>pants_11</x:t>
  </x:si>
  <x:si>
    <x:t>description</x:t>
  </x:si>
  <x:si>
    <x:t>attackRange</x:t>
  </x:si>
  <x:si>
    <x:t>sword_11</x:t>
  </x:si>
  <x:si>
    <x:t>necklace_11</x:t>
  </x:si>
  <x:si>
    <x:t>EQUIP_007</x:t>
  </x:si>
  <x:si>
    <x:t>attackSpeed</x:t>
  </x:si>
  <x:si>
    <x:t>EQUIP_001</x:t>
  </x:si>
  <x:si>
    <x:t>Bracelet</x:t>
  </x:si>
  <x:si>
    <x:t>attackPower</x:t>
  </x:si>
  <x:si>
    <x:t>10분간 공격력 증가</x:t>
  </x:si>
  <x:si>
    <x:t>bracelet_11</x:t>
  </x:si>
  <x:si>
    <x:t>Necklace</x:t>
  </x:si>
  <x:si>
    <x:t>장비 제작에 사용</x:t>
  </x:si>
  <x:si>
    <x:t>EQUIP_006</x:t>
  </x:si>
  <x:si>
    <x:t>EQUIP_003</x:t>
  </x:si>
  <x:si>
    <x:t>itemDropRateBonus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</x:si>
</x:sst>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1"/>
      <x:color rgb="ff000000"/>
    </x:font>
    <x:font>
      <x:name val="Arial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11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  <x:xf numFmtId="0" fontId="7" fillId="0" borderId="0" xfId="0" applyFont="1" applyAlignment="1">
      <x:alignment horizontal="general" vertical="bottom"/>
    </x:xf>
    <x:xf numFmtId="0" fontId="7" fillId="0" borderId="0" xfId="0" applyFont="1" applyAlignment="1">
      <x:alignment horizontal="general" vertical="bottom"/>
    </x:xf>
    <x:xf numFmtId="0" fontId="7" fillId="0" borderId="0" xfId="0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right" vertical="bottom"/>
        </x:xf>
      </mc:Fallback>
    </mc:AlternateContent>
    <x:xf numFmtId="0" fontId="6" fillId="0" borderId="0" xfId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Alignment="1">
          <x:alignment horizontal="center" vertical="center"/>
        </x:xf>
      </mc:Fallback>
    </mc:AlternateContent>
  </x:cellXfs>
  <x:cellStyles count="2">
    <x:cellStyle name="Normal" xfId="0" builtinId="0"/>
    <x:cellStyle name="표준" xfId="1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M9"/>
  <x:sheetViews>
    <x:sheetView tabSelected="1" topLeftCell="A1" zoomScaleNormal="100" zoomScaleSheetLayoutView="75" workbookViewId="0">
      <x:selection activeCell="J17" activeCellId="0" sqref="J17:J17"/>
    </x:sheetView>
  </x:sheetViews>
  <x:sheetFormatPr defaultColWidth="12.62890625" defaultRowHeight="15.75" customHeight="1"/>
  <x:cols>
    <x:col min="3" max="5" width="16" style="3" customWidth="1"/>
    <x:col min="6" max="6" width="6.28515625" style="3" customWidth="1"/>
    <x:col min="7" max="7" width="12.85546875" style="3" customWidth="1"/>
    <x:col min="8" max="8" width="13.28515625" style="3" customWidth="1"/>
    <x:col min="9" max="9" width="12.71484375" style="3" customWidth="1"/>
    <x:col min="10" max="10" width="18.85546875" style="1" customWidth="1"/>
    <x:col min="11" max="11" width="24.5703125" style="1" customWidth="1"/>
    <x:col min="12" max="12" width="23" style="1" customWidth="1"/>
    <x:col min="13" max="13" width="20.71484375" style="1" customWidth="1"/>
  </x:cols>
  <x:sheetData>
    <x:row r="1" spans="1:13" ht="16.399999999999999">
      <x:c r="A1" s="9" t="s">
        <x:v>18</x:v>
      </x:c>
      <x:c r="B1" s="9" t="s">
        <x:v>41</x:v>
      </x:c>
      <x:c r="C1" s="9" t="s">
        <x:v>43</x:v>
      </x:c>
      <x:c r="D1" s="8" t="s">
        <x:v>26</x:v>
      </x:c>
      <x:c r="E1" s="9" t="s">
        <x:v>47</x:v>
      </x:c>
      <x:c r="F1" s="10" t="s">
        <x:v>0</x:v>
      </x:c>
      <x:c r="G1" s="10" t="s">
        <x:v>55</x:v>
      </x:c>
      <x:c r="H1" s="10" t="s">
        <x:v>52</x:v>
      </x:c>
      <x:c r="I1" s="10" t="s">
        <x:v>48</x:v>
      </x:c>
      <x:c r="J1" s="10" t="s">
        <x:v>25</x:v>
      </x:c>
      <x:c r="K1" s="10" t="s">
        <x:v>39</x:v>
      </x:c>
      <x:c r="L1" s="10" t="s">
        <x:v>40</x:v>
      </x:c>
      <x:c r="M1" s="10" t="s">
        <x:v>62</x:v>
      </x:c>
    </x:row>
    <x:row r="2" spans="1:13" ht="16.399999999999999">
      <x:c r="A2" s="8" t="s">
        <x:v>53</x:v>
      </x:c>
      <x:c r="B2" s="4" t="s">
        <x:v>35</x:v>
      </x:c>
      <x:c r="C2" s="4" t="s">
        <x:v>49</x:v>
      </x:c>
      <x:c r="D2" s="4" t="s">
        <x:v>6</x:v>
      </x:c>
      <x:c r="E2" s="4" t="str">
        <x:f t="shared" ref="E2:E9" si="0">CONCATENATE(RIGHT(C2,LEN(C2)-(FIND("_",C2)+1)),"티어 ",B2)</x:f>
        <x:v>1티어 검</x:v>
      </x:c>
      <x:c r="F2" s="9">
        <x:v>1</x:v>
      </x:c>
      <x:c r="G2" s="9">
        <x:v>2</x:v>
      </x:c>
      <x:c r="H2" s="9">
        <x:v>3</x:v>
      </x:c>
      <x:c r="I2" s="9">
        <x:v>4</x:v>
      </x:c>
      <x:c r="J2" s="9">
        <x:v>5</x:v>
      </x:c>
      <x:c r="K2" s="9">
        <x:v>6</x:v>
      </x:c>
      <x:c r="L2" s="9">
        <x:v>7</x:v>
      </x:c>
      <x:c r="M2" s="9">
        <x:v>8</x:v>
      </x:c>
    </x:row>
    <x:row r="3" spans="1:13" ht="16.399999999999999">
      <x:c r="A3" s="8" t="s">
        <x:v>42</x:v>
      </x:c>
      <x:c r="B3" s="4" t="s">
        <x:v>32</x:v>
      </x:c>
      <x:c r="C3" s="4" t="s">
        <x:v>11</x:v>
      </x:c>
      <x:c r="D3" s="4" t="s">
        <x:v>3</x:v>
      </x:c>
      <x:c r="E3" s="4" t="str">
        <x:f t="shared" si="0"/>
        <x:v>1티어 투구</x:v>
      </x:c>
      <x:c r="F3" s="9">
        <x:v>2</x:v>
      </x:c>
      <x:c r="G3" s="9">
        <x:v>3</x:v>
      </x:c>
      <x:c r="H3" s="9">
        <x:v>4</x:v>
      </x:c>
      <x:c r="I3" s="9">
        <x:v>5</x:v>
      </x:c>
      <x:c r="J3" s="9">
        <x:v>6</x:v>
      </x:c>
      <x:c r="K3" s="9">
        <x:v>7</x:v>
      </x:c>
      <x:c r="L3" s="9">
        <x:v>8</x:v>
      </x:c>
      <x:c r="M3" s="9">
        <x:v>9</x:v>
      </x:c>
    </x:row>
    <x:row r="4" spans="1:13" ht="16.399999999999999">
      <x:c r="A4" s="8" t="s">
        <x:v>61</x:v>
      </x:c>
      <x:c r="B4" s="4" t="s">
        <x:v>37</x:v>
      </x:c>
      <x:c r="C4" s="4" t="s">
        <x:v>30</x:v>
      </x:c>
      <x:c r="D4" s="4" t="s">
        <x:v>5</x:v>
      </x:c>
      <x:c r="E4" s="4" t="str">
        <x:f t="shared" si="0"/>
        <x:v>1티어 상의</x:v>
      </x:c>
      <x:c r="F4" s="9">
        <x:v>3</x:v>
      </x:c>
      <x:c r="G4" s="9">
        <x:v>4</x:v>
      </x:c>
      <x:c r="H4" s="9">
        <x:v>5</x:v>
      </x:c>
      <x:c r="I4" s="9">
        <x:v>6</x:v>
      </x:c>
      <x:c r="J4" s="9">
        <x:v>7</x:v>
      </x:c>
      <x:c r="K4" s="9">
        <x:v>8</x:v>
      </x:c>
      <x:c r="L4" s="9">
        <x:v>9</x:v>
      </x:c>
      <x:c r="M4" s="9">
        <x:v>10</x:v>
      </x:c>
    </x:row>
    <x:row r="5" spans="1:13" ht="16.399999999999999">
      <x:c r="A5" s="8" t="s">
        <x:v>27</x:v>
      </x:c>
      <x:c r="B5" s="4" t="s">
        <x:v>34</x:v>
      </x:c>
      <x:c r="C5" s="4" t="s">
        <x:v>46</x:v>
      </x:c>
      <x:c r="D5" s="4" t="s">
        <x:v>17</x:v>
      </x:c>
      <x:c r="E5" s="5" t="str">
        <x:f t="shared" si="0"/>
        <x:v>1티어 하의</x:v>
      </x:c>
      <x:c r="F5" s="9">
        <x:v>4</x:v>
      </x:c>
      <x:c r="G5" s="9">
        <x:v>5</x:v>
      </x:c>
      <x:c r="H5" s="9">
        <x:v>6</x:v>
      </x:c>
      <x:c r="I5" s="9">
        <x:v>7</x:v>
      </x:c>
      <x:c r="J5" s="9">
        <x:v>8</x:v>
      </x:c>
      <x:c r="K5" s="9">
        <x:v>9</x:v>
      </x:c>
      <x:c r="L5" s="9">
        <x:v>10</x:v>
      </x:c>
      <x:c r="M5" s="9">
        <x:v>11</x:v>
      </x:c>
    </x:row>
    <x:row r="6" spans="1:13" ht="16.399999999999999">
      <x:c r="A6" s="8" t="s">
        <x:v>45</x:v>
      </x:c>
      <x:c r="B6" s="4" t="s">
        <x:v>31</x:v>
      </x:c>
      <x:c r="C6" s="4" t="s">
        <x:v>28</x:v>
      </x:c>
      <x:c r="D6" s="4" t="s">
        <x:v>10</x:v>
      </x:c>
      <x:c r="E6" s="5" t="str">
        <x:f t="shared" si="0"/>
        <x:v>1티어 신발</x:v>
      </x:c>
      <x:c r="F6" s="9">
        <x:v>5</x:v>
      </x:c>
      <x:c r="G6" s="9">
        <x:v>6</x:v>
      </x:c>
      <x:c r="H6" s="9">
        <x:v>7</x:v>
      </x:c>
      <x:c r="I6" s="9">
        <x:v>8</x:v>
      </x:c>
      <x:c r="J6" s="9">
        <x:v>9</x:v>
      </x:c>
      <x:c r="K6" s="9">
        <x:v>10</x:v>
      </x:c>
      <x:c r="L6" s="9">
        <x:v>11</x:v>
      </x:c>
      <x:c r="M6" s="9">
        <x:v>12</x:v>
      </x:c>
    </x:row>
    <x:row r="7" spans="1:13" ht="16.399999999999999">
      <x:c r="A7" s="8" t="s">
        <x:v>60</x:v>
      </x:c>
      <x:c r="B7" s="4" t="s">
        <x:v>36</x:v>
      </x:c>
      <x:c r="C7" s="4" t="s">
        <x:v>50</x:v>
      </x:c>
      <x:c r="D7" s="4" t="s">
        <x:v>58</x:v>
      </x:c>
      <x:c r="E7" s="5" t="str">
        <x:f t="shared" si="0"/>
        <x:v>1티어 목걸이</x:v>
      </x:c>
      <x:c r="F7" s="9">
        <x:v>6</x:v>
      </x:c>
      <x:c r="G7" s="9">
        <x:v>7</x:v>
      </x:c>
      <x:c r="H7" s="9">
        <x:v>8</x:v>
      </x:c>
      <x:c r="I7" s="9">
        <x:v>9</x:v>
      </x:c>
      <x:c r="J7" s="9">
        <x:v>10</x:v>
      </x:c>
      <x:c r="K7" s="9">
        <x:v>11</x:v>
      </x:c>
      <x:c r="L7" s="9">
        <x:v>12</x:v>
      </x:c>
      <x:c r="M7" s="9">
        <x:v>13</x:v>
      </x:c>
    </x:row>
    <x:row r="8" spans="1:13" ht="16.399999999999999">
      <x:c r="A8" s="8" t="s">
        <x:v>51</x:v>
      </x:c>
      <x:c r="B8" s="4" t="s">
        <x:v>33</x:v>
      </x:c>
      <x:c r="C8" s="4" t="s">
        <x:v>57</x:v>
      </x:c>
      <x:c r="D8" s="4" t="s">
        <x:v>54</x:v>
      </x:c>
      <x:c r="E8" s="5" t="str">
        <x:f t="shared" si="0"/>
        <x:v>1티어 팔찌</x:v>
      </x:c>
      <x:c r="F8" s="9">
        <x:v>7</x:v>
      </x:c>
      <x:c r="G8" s="9">
        <x:v>8</x:v>
      </x:c>
      <x:c r="H8" s="9">
        <x:v>9</x:v>
      </x:c>
      <x:c r="I8" s="9">
        <x:v>10</x:v>
      </x:c>
      <x:c r="J8" s="9">
        <x:v>11</x:v>
      </x:c>
      <x:c r="K8" s="9">
        <x:v>12</x:v>
      </x:c>
      <x:c r="L8" s="9">
        <x:v>13</x:v>
      </x:c>
      <x:c r="M8" s="9">
        <x:v>14</x:v>
      </x:c>
    </x:row>
    <x:row r="9" spans="1:13" ht="16.399999999999999">
      <x:c r="A9" s="8" t="s">
        <x:v>29</x:v>
      </x:c>
      <x:c r="B9" s="4" t="s">
        <x:v>38</x:v>
      </x:c>
      <x:c r="C9" s="4" t="s">
        <x:v>8</x:v>
      </x:c>
      <x:c r="D9" s="4" t="s">
        <x:v>1</x:v>
      </x:c>
      <x:c r="E9" s="5" t="str">
        <x:f t="shared" si="0"/>
        <x:v>1티어 반지</x:v>
      </x:c>
      <x:c r="F9" s="9">
        <x:v>8</x:v>
      </x:c>
      <x:c r="G9" s="9">
        <x:v>9</x:v>
      </x:c>
      <x:c r="H9" s="9">
        <x:v>10</x:v>
      </x:c>
      <x:c r="I9" s="9">
        <x:v>11</x:v>
      </x:c>
      <x:c r="J9" s="9">
        <x:v>12</x:v>
      </x:c>
      <x:c r="K9" s="9">
        <x:v>13</x:v>
      </x:c>
      <x:c r="L9" s="9">
        <x:v>14</x:v>
      </x:c>
      <x:c r="M9" s="9">
        <x:v>15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G2"/>
  <x:sheetViews>
    <x:sheetView topLeftCell="A1" zoomScaleNormal="100" zoomScaleSheetLayoutView="75" workbookViewId="0">
      <x:selection activeCell="A1" activeCellId="0" sqref="A1:A1"/>
    </x:sheetView>
  </x:sheetViews>
  <x:sheetFormatPr defaultColWidth="12.62890625" defaultRowHeight="15.75" customHeight="1"/>
  <x:cols>
    <x:col min="3" max="3" width="12.62890625" style="2" customWidth="1"/>
  </x:cols>
  <x:sheetData>
    <x:row r="1" spans="1:7" ht="16.399999999999999">
      <x:c r="A1" s="6" t="s">
        <x:v>18</x:v>
      </x:c>
      <x:c r="B1" s="6" t="s">
        <x:v>41</x:v>
      </x:c>
      <x:c r="C1" s="4" t="s">
        <x:v>43</x:v>
      </x:c>
      <x:c r="D1" s="6" t="s">
        <x:v>47</x:v>
      </x:c>
      <x:c r="E1" s="6" t="s">
        <x:v>24</x:v>
      </x:c>
      <x:c r="F1" s="6" t="s">
        <x:v>4</x:v>
      </x:c>
      <x:c r="G1" s="6" t="s">
        <x:v>44</x:v>
      </x:c>
    </x:row>
    <x:row r="2" spans="1:7" ht="16.399999999999999">
      <x:c r="A2" s="6" t="s">
        <x:v>23</x:v>
      </x:c>
      <x:c r="B2" s="6" t="s">
        <x:v>20</x:v>
      </x:c>
      <x:c r="C2" s="4" t="s">
        <x:v>49</x:v>
      </x:c>
      <x:c r="D2" s="6" t="s">
        <x:v>56</x:v>
      </x:c>
      <x:c r="E2" s="6" t="s">
        <x:v>21</x:v>
      </x:c>
      <x:c r="F2" s="7">
        <x:v>1.1000000000000001</x:v>
      </x:c>
      <x:c r="G2" s="7">
        <x:v>600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D2"/>
  <x:sheetViews>
    <x:sheetView topLeftCell="A1" zoomScaleNormal="100" zoomScaleSheetLayoutView="75" workbookViewId="0">
      <x:selection activeCell="D11" activeCellId="0" sqref="D11:D11"/>
    </x:sheetView>
  </x:sheetViews>
  <x:sheetFormatPr defaultColWidth="12.62890625" defaultRowHeight="15.75" customHeight="1"/>
  <x:cols>
    <x:col min="3" max="3" width="12.62890625" style="2" customWidth="1"/>
  </x:cols>
  <x:sheetData>
    <x:row r="1" spans="1:4" ht="16.399999999999999">
      <x:c r="A1" s="6" t="s">
        <x:v>18</x:v>
      </x:c>
      <x:c r="B1" s="6" t="s">
        <x:v>41</x:v>
      </x:c>
      <x:c r="C1" s="4" t="s">
        <x:v>43</x:v>
      </x:c>
      <x:c r="D1" s="6" t="s">
        <x:v>47</x:v>
      </x:c>
    </x:row>
    <x:row r="2" spans="1:4" ht="16.399999999999999">
      <x:c r="A2" s="6" t="s">
        <x:v>13</x:v>
      </x:c>
      <x:c r="B2" s="6" t="s">
        <x:v>14</x:v>
      </x:c>
      <x:c r="C2" s="4" t="s">
        <x:v>49</x:v>
      </x:c>
      <x:c r="D2" s="6" t="s">
        <x:v>59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Equipment</vt:lpstr>
      <vt:lpstr>Consumables</vt:lpstr>
      <vt:lpstr>Materials</vt:lpstr>
    </vt:vector>
  </ep:TitlesOfParts>
  <ep:TotalTime>14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10</cp:revision>
  <dcterms:created xsi:type="dcterms:W3CDTF">2025-08-11T07:04:47.476</dcterms:created>
  <dcterms:modified xsi:type="dcterms:W3CDTF">2025-08-13T04:02:06.763</dcterms:modified>
  <cp:version>1100.0100.01</cp:version>
</cp:coreProperties>
</file>